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4C7BBFD-D4D1-49C1-9605-146B282CFB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F2" i="1"/>
  <c r="I2" i="1"/>
  <c r="J2" i="1"/>
  <c r="F3" i="1"/>
  <c r="I3" i="1"/>
  <c r="J3" i="1"/>
  <c r="F4" i="1"/>
  <c r="I4" i="1"/>
  <c r="J4" i="1"/>
  <c r="F5" i="1"/>
  <c r="I5" i="1"/>
  <c r="J5" i="1"/>
  <c r="F6" i="1"/>
  <c r="I6" i="1"/>
  <c r="J6" i="1"/>
  <c r="F7" i="1"/>
  <c r="I7" i="1"/>
  <c r="J7" i="1"/>
  <c r="F8" i="1"/>
  <c r="I8" i="1"/>
  <c r="J8" i="1"/>
  <c r="F9" i="1"/>
  <c r="I9" i="1"/>
  <c r="J9" i="1"/>
  <c r="F10" i="1"/>
  <c r="I10" i="1"/>
  <c r="J10" i="1"/>
  <c r="F11" i="1"/>
  <c r="I11" i="1"/>
  <c r="J11" i="1"/>
  <c r="F12" i="1"/>
  <c r="I12" i="1"/>
  <c r="J12" i="1"/>
  <c r="F13" i="1"/>
  <c r="I13" i="1"/>
  <c r="J13" i="1"/>
  <c r="F14" i="1"/>
  <c r="I14" i="1"/>
  <c r="J14" i="1"/>
  <c r="F15" i="1"/>
  <c r="I15" i="1"/>
  <c r="J15" i="1"/>
  <c r="F16" i="1"/>
  <c r="J16" i="1"/>
  <c r="F17" i="1"/>
  <c r="I17" i="1"/>
  <c r="J17" i="1"/>
  <c r="F18" i="1"/>
  <c r="I18" i="1"/>
  <c r="J18" i="1"/>
  <c r="F19" i="1"/>
  <c r="I19" i="1"/>
  <c r="J19" i="1"/>
  <c r="F20" i="1"/>
  <c r="I20" i="1"/>
  <c r="J20" i="1"/>
  <c r="F21" i="1"/>
  <c r="I21" i="1"/>
  <c r="J21" i="1"/>
  <c r="F22" i="1"/>
  <c r="I22" i="1"/>
  <c r="J22" i="1"/>
  <c r="F23" i="1"/>
  <c r="I23" i="1"/>
  <c r="J23" i="1"/>
  <c r="F24" i="1"/>
  <c r="I24" i="1"/>
  <c r="J24" i="1"/>
  <c r="F25" i="1"/>
  <c r="I25" i="1"/>
  <c r="J25" i="1"/>
  <c r="F26" i="1"/>
  <c r="I26" i="1"/>
  <c r="J26" i="1"/>
  <c r="F27" i="1"/>
  <c r="I27" i="1"/>
  <c r="J27" i="1"/>
  <c r="F28" i="1"/>
  <c r="I28" i="1"/>
  <c r="J28" i="1"/>
  <c r="F29" i="1"/>
  <c r="I29" i="1"/>
  <c r="J29" i="1"/>
  <c r="F30" i="1"/>
  <c r="I30" i="1"/>
  <c r="J30" i="1"/>
  <c r="F31" i="1"/>
  <c r="I31" i="1"/>
  <c r="J31" i="1"/>
  <c r="F32" i="1"/>
  <c r="I32" i="1"/>
  <c r="J32" i="1"/>
  <c r="F33" i="1"/>
  <c r="I33" i="1"/>
  <c r="J33" i="1"/>
  <c r="F34" i="1"/>
  <c r="I34" i="1"/>
  <c r="J34" i="1"/>
  <c r="F35" i="1"/>
  <c r="I35" i="1"/>
  <c r="J35" i="1"/>
  <c r="F36" i="1"/>
  <c r="I36" i="1"/>
  <c r="K9" i="1" s="1"/>
  <c r="J36" i="1"/>
  <c r="F37" i="1"/>
  <c r="I37" i="1"/>
  <c r="J37" i="1"/>
  <c r="F38" i="1"/>
  <c r="I38" i="1"/>
  <c r="J38" i="1"/>
  <c r="F39" i="1"/>
  <c r="I39" i="1"/>
  <c r="J39" i="1"/>
  <c r="F40" i="1"/>
  <c r="I40" i="1"/>
  <c r="J40" i="1"/>
  <c r="F41" i="1"/>
  <c r="I41" i="1"/>
  <c r="J41" i="1"/>
  <c r="F42" i="1"/>
  <c r="I42" i="1"/>
  <c r="J42" i="1"/>
  <c r="F43" i="1"/>
  <c r="I43" i="1"/>
  <c r="J43" i="1"/>
  <c r="F44" i="1"/>
  <c r="I44" i="1"/>
  <c r="K44" i="1" s="1"/>
  <c r="J44" i="1"/>
  <c r="F45" i="1"/>
  <c r="I45" i="1"/>
  <c r="J45" i="1"/>
  <c r="F46" i="1"/>
  <c r="I46" i="1"/>
  <c r="J46" i="1"/>
  <c r="F47" i="1"/>
  <c r="I47" i="1"/>
  <c r="J47" i="1"/>
  <c r="F48" i="1"/>
  <c r="I48" i="1"/>
  <c r="J48" i="1"/>
  <c r="F49" i="1"/>
  <c r="I49" i="1"/>
  <c r="J49" i="1"/>
  <c r="F50" i="1"/>
  <c r="I50" i="1"/>
  <c r="J50" i="1"/>
  <c r="F51" i="1"/>
  <c r="I51" i="1"/>
  <c r="J51" i="1"/>
  <c r="F52" i="1"/>
  <c r="I52" i="1"/>
  <c r="J52" i="1"/>
  <c r="F53" i="1"/>
  <c r="I53" i="1"/>
  <c r="J53" i="1"/>
  <c r="F54" i="1"/>
  <c r="I54" i="1"/>
  <c r="J54" i="1"/>
  <c r="F55" i="1"/>
  <c r="I55" i="1"/>
  <c r="J55" i="1"/>
  <c r="K5" i="1" l="1"/>
  <c r="K32" i="1"/>
  <c r="L32" i="1" s="1"/>
  <c r="L44" i="1"/>
  <c r="K13" i="1"/>
  <c r="L13" i="1" s="1"/>
  <c r="K6" i="1"/>
  <c r="L6" i="1" s="1"/>
  <c r="K51" i="1"/>
  <c r="K25" i="1"/>
  <c r="K14" i="1"/>
  <c r="L14" i="1" s="1"/>
  <c r="K3" i="1"/>
  <c r="L3" i="1" s="1"/>
  <c r="K27" i="1"/>
  <c r="K8" i="1"/>
  <c r="L8" i="1" s="1"/>
  <c r="K22" i="1"/>
  <c r="L22" i="1" s="1"/>
  <c r="K33" i="1"/>
  <c r="K52" i="1"/>
  <c r="K24" i="1"/>
  <c r="L24" i="1" s="1"/>
  <c r="K4" i="1"/>
  <c r="L4" i="1" s="1"/>
  <c r="K2" i="1"/>
  <c r="L2" i="1" s="1"/>
  <c r="K30" i="1"/>
  <c r="K55" i="1"/>
  <c r="L55" i="1" s="1"/>
  <c r="K36" i="1"/>
  <c r="L36" i="1" s="1"/>
  <c r="K19" i="1"/>
  <c r="K7" i="1"/>
  <c r="L7" i="1" s="1"/>
  <c r="K45" i="1"/>
  <c r="L45" i="1" s="1"/>
  <c r="K38" i="1"/>
  <c r="L38" i="1" s="1"/>
  <c r="K15" i="1"/>
  <c r="L15" i="1" s="1"/>
  <c r="K34" i="1"/>
  <c r="K23" i="1"/>
  <c r="K41" i="1"/>
  <c r="K28" i="1"/>
  <c r="L28" i="1" s="1"/>
  <c r="K10" i="1"/>
  <c r="K18" i="1"/>
  <c r="K47" i="1"/>
  <c r="K40" i="1"/>
  <c r="L40" i="1" s="1"/>
  <c r="K17" i="1"/>
  <c r="L17" i="1" s="1"/>
  <c r="K39" i="1"/>
  <c r="L39" i="1" s="1"/>
  <c r="K48" i="1"/>
  <c r="L48" i="1" s="1"/>
  <c r="K53" i="1"/>
  <c r="K50" i="1"/>
  <c r="L50" i="1" s="1"/>
  <c r="K49" i="1"/>
  <c r="L49" i="1" s="1"/>
  <c r="K29" i="1"/>
  <c r="L29" i="1" s="1"/>
  <c r="K37" i="1"/>
  <c r="L9" i="1" s="1"/>
  <c r="K21" i="1"/>
  <c r="L21" i="1" s="1"/>
  <c r="K35" i="1"/>
  <c r="L35" i="1" s="1"/>
  <c r="K31" i="1"/>
  <c r="L31" i="1" s="1"/>
  <c r="K12" i="1"/>
  <c r="L12" i="1" s="1"/>
  <c r="K54" i="1"/>
  <c r="K46" i="1"/>
  <c r="K42" i="1"/>
  <c r="L42" i="1" s="1"/>
  <c r="K26" i="1"/>
  <c r="L27" i="1" s="1"/>
  <c r="K20" i="1"/>
  <c r="L20" i="1" s="1"/>
  <c r="K43" i="1"/>
  <c r="L43" i="1" s="1"/>
  <c r="K11" i="1"/>
  <c r="L11" i="1" s="1"/>
  <c r="K16" i="1"/>
  <c r="L52" i="1"/>
  <c r="L51" i="1"/>
  <c r="L10" i="1"/>
  <c r="L30" i="1"/>
  <c r="L19" i="1"/>
  <c r="L5" i="1"/>
  <c r="L23" i="1"/>
  <c r="L41" i="1"/>
  <c r="L33" i="1"/>
  <c r="L25" i="1"/>
  <c r="L37" i="1" l="1"/>
  <c r="L47" i="1"/>
  <c r="L16" i="1"/>
  <c r="L53" i="1"/>
  <c r="L26" i="1"/>
  <c r="L18" i="1"/>
  <c r="L46" i="1"/>
  <c r="L54" i="1"/>
  <c r="L34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<sst xmlns="http://schemas.openxmlformats.org/spreadsheetml/2006/main" count="730" uniqueCount="467">
  <si>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</si>
  <si>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</si>
  <si>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</si>
  <si>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</si>
  <si>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</si>
  <si>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</si>
  <si>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</si>
  <si>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</si>
  <si>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</si>
  <si>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</si>
  <si>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</si>
  <si>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</si>
  <si>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</si>
  <si>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</si>
  <si>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</si>
  <si>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</si>
  <si>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</si>
  <si>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</si>
  <si>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</si>
  <si>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</si>
  <si>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</si>
  <si>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</si>
  <si>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</si>
  <si>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</si>
  <si>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</si>
  <si>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</si>
  <si>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</si>
  <si>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</si>
  <si>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</si>
  <si>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</si>
  <si>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</si>
  <si>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</si>
  <si>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</si>
  <si>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</si>
  <si>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</si>
  <si>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</si>
  <si>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</si>
  <si>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</si>
  <si>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</si>
  <si>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</si>
  <si>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</si>
  <si>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</si>
  <si>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</si>
  <si>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</si>
  <si>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</si>
  <si>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</si>
  <si>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</si>
  <si>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</si>
  <si>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</si>
  <si>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</si>
  <si>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</si>
  <si>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</si>
  <si>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</si>
  <si>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</si>
  <si>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</si>
  <si>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</si>
  <si>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</si>
  <si>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</si>
  <si>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</si>
  <si>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</si>
  <si>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</si>
  <si>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</si>
  <si>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</si>
  <si>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</si>
  <si>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</si>
  <si>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</si>
  <si>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</si>
  <si>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</si>
  <si>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</si>
  <si>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</si>
  <si>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</si>
  <si>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</si>
  <si>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</si>
  <si>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</si>
  <si>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</si>
  <si>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</si>
  <si>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</si>
  <si>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</si>
  <si>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</si>
  <si>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</si>
  <si>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</si>
  <si>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</si>
  <si>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</si>
  <si>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</si>
  <si>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</si>
  <si>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</si>
  <si>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</si>
  <si>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</si>
  <si>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</si>
  <si>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</si>
  <si>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</si>
  <si>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</si>
  <si>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</si>
  <si>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</si>
  <si>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</si>
  <si>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</si>
  <si>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</si>
  <si>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</si>
  <si>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</si>
  <si>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</si>
  <si>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</si>
  <si>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</si>
  <si>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</si>
  <si>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</si>
  <si>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</si>
  <si>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</si>
  <si>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</si>
  <si>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</si>
  <si>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</si>
  <si>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</si>
  <si>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</si>
  <si>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</si>
  <si>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</si>
  <si>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</si>
  <si>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</si>
  <si>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</si>
  <si>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</si>
  <si>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</si>
  <si>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</si>
  <si>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</si>
  <si>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</si>
  <si>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</si>
  <si>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</si>
  <si>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</si>
  <si>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</si>
  <si>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</si>
  <si>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</si>
  <si>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</si>
  <si>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</si>
  <si>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</si>
  <si>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</si>
  <si>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</si>
  <si>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</si>
  <si>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</si>
  <si>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</si>
  <si>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</si>
  <si>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</si>
  <si>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</si>
  <si>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</si>
  <si>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</si>
  <si>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</si>
  <si>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</si>
  <si>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</si>
  <si>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</si>
  <si>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</si>
  <si>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</si>
  <si>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</si>
  <si>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</si>
  <si>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</si>
  <si>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</si>
  <si>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</si>
  <si>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</si>
  <si>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</si>
  <si>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</si>
  <si>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</si>
  <si>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</si>
  <si>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</si>
  <si>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</si>
  <si>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</si>
  <si>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</si>
  <si>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</si>
  <si>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</si>
  <si>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</si>
  <si>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</si>
  <si>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</si>
  <si>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</si>
  <si>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</si>
  <si>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</si>
  <si>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</si>
  <si>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</si>
  <si>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</si>
  <si>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</si>
  <si>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</si>
  <si>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</si>
  <si>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</si>
  <si>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</si>
  <si>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</si>
  <si>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</si>
  <si>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</si>
  <si>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</si>
  <si>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</si>
  <si>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</si>
  <si>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</si>
  <si>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</si>
  <si>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</si>
  <si>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</si>
  <si>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</si>
  <si>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</si>
  <si>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</si>
  <si>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</si>
  <si>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</si>
  <si>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</si>
  <si>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</si>
  <si>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</si>
  <si>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</si>
  <si>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</si>
  <si>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</si>
  <si>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</si>
  <si>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</si>
  <si>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</si>
  <si>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</si>
  <si>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</si>
  <si>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</si>
  <si>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</si>
  <si>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</si>
  <si>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</si>
  <si>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</si>
  <si>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</si>
  <si>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</si>
  <si>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</si>
  <si>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</si>
  <si>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</si>
  <si>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</si>
  <si>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</si>
  <si>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</si>
  <si>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</si>
  <si>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</si>
  <si>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</si>
  <si>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</si>
  <si>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</si>
  <si>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</si>
  <si>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</si>
  <si>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</si>
  <si>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</si>
  <si>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</si>
  <si>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</si>
  <si>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</si>
  <si>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</si>
  <si>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</si>
  <si>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</si>
  <si>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</si>
  <si>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</si>
  <si>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</si>
  <si>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</si>
  <si>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</si>
  <si>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</si>
  <si>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</si>
  <si>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</si>
  <si>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</si>
  <si>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</si>
  <si>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</si>
  <si>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</si>
  <si>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</si>
  <si>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</si>
  <si>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</si>
  <si>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</si>
  <si>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</si>
  <si>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</si>
  <si>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</si>
  <si>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</si>
  <si>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</si>
  <si>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</si>
  <si>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</si>
  <si>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</si>
  <si>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</si>
  <si>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</si>
  <si>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</si>
  <si>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</si>
  <si>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</si>
  <si>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</si>
  <si>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</si>
  <si>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</si>
  <si>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</si>
  <si>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</si>
  <si>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</si>
  <si>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</si>
  <si>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</si>
  <si>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</si>
  <si>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</si>
  <si>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</si>
  <si>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</si>
  <si>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</si>
  <si>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</si>
  <si>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</si>
  <si>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</si>
  <si>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</si>
  <si>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</si>
  <si>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</si>
  <si>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</si>
  <si>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</si>
  <si>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</si>
  <si>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</si>
  <si>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</si>
  <si>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</si>
  <si>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</si>
  <si>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</si>
  <si>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</si>
  <si>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</si>
  <si>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</si>
  <si>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</si>
  <si>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</si>
  <si>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</si>
  <si>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</si>
  <si>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</si>
  <si>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</si>
  <si>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</si>
  <si>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</si>
  <si>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</si>
  <si>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</si>
  <si>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</si>
  <si>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</si>
  <si>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</si>
  <si>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</si>
  <si>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</si>
  <si>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</si>
  <si>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</si>
  <si>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</si>
  <si>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</si>
  <si>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</si>
  <si>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</si>
  <si>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</si>
  <si>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</si>
  <si>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</si>
  <si>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</si>
  <si>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</si>
  <si>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</si>
  <si>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</si>
  <si>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</si>
  <si>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</si>
  <si>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</si>
  <si>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</si>
  <si>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</si>
  <si>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</si>
  <si>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</si>
  <si>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</si>
  <si>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</si>
  <si>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</si>
  <si>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</si>
  <si>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</si>
  <si>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</si>
  <si>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</si>
  <si>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</si>
  <si>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</si>
  <si>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</si>
  <si>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</si>
  <si>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</si>
  <si>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</si>
  <si>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</si>
  <si>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</si>
  <si>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</si>
  <si>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</si>
  <si>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</si>
  <si>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</si>
  <si>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</si>
  <si>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</si>
  <si>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</si>
  <si>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</si>
  <si>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</si>
  <si>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</si>
  <si>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</si>
  <si>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</si>
  <si>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</si>
  <si>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</si>
  <si>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</si>
  <si>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</si>
  <si>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</si>
  <si>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</si>
  <si>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</si>
  <si>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</si>
  <si>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</si>
  <si>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</si>
  <si>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</si>
  <si>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</si>
  <si>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</si>
  <si>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</si>
  <si>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</si>
  <si>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</si>
  <si>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</si>
  <si>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</si>
  <si>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</si>
  <si>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</si>
  <si>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</si>
  <si>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</si>
  <si>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</si>
  <si>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</si>
  <si>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</si>
  <si>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</si>
  <si>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</si>
  <si>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</si>
  <si>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</si>
  <si>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</si>
  <si>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</si>
  <si>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</si>
  <si>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</si>
  <si>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</si>
  <si>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</si>
  <si>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</si>
  <si>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</si>
  <si>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</si>
  <si>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</si>
  <si>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</si>
  <si>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</si>
  <si>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</si>
  <si>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</si>
  <si>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</si>
  <si>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</si>
  <si>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</si>
  <si>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</si>
  <si>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</si>
  <si>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</si>
  <si>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</si>
  <si>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</si>
  <si>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</si>
  <si>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</si>
  <si>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</si>
  <si>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</si>
  <si>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</si>
  <si>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</si>
  <si>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</si>
  <si>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</si>
  <si>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</si>
  <si>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</si>
  <si>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</si>
  <si>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</si>
  <si>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</si>
  <si>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</si>
  <si>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</si>
  <si>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</si>
  <si>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</si>
  <si>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</si>
  <si>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</si>
  <si>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</si>
  <si>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</si>
  <si>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</si>
  <si>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</si>
  <si>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</si>
  <si>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</si>
  <si>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</si>
  <si>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</si>
  <si>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</si>
  <si>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</si>
  <si>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</si>
  <si>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</si>
  <si>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</si>
  <si>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</si>
  <si>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</si>
  <si>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</si>
  <si>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</si>
  <si>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</si>
  <si>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</si>
  <si>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</si>
  <si>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</si>
  <si>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</si>
  <si>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</si>
  <si>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</si>
  <si>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</si>
  <si>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</si>
  <si>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</si>
  <si>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</si>
  <si>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</si>
  <si>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</si>
  <si>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</si>
  <si>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</si>
  <si>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</si>
  <si>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</si>
  <si>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</si>
  <si>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</si>
  <si>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</si>
  <si>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</si>
  <si>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</si>
  <si>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</si>
  <si>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</si>
  <si>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Cost per Unit</t>
  </si>
  <si>
    <t>Gross Revenue</t>
  </si>
  <si>
    <t>Total Tax</t>
  </si>
  <si>
    <t>Net 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</si>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</sst>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I1" zoomScale="90" zoomScaleNormal="90" workbookViewId="0">
      <selection activeCell="M11" sqref="M11"/>
    </sheetView>
  </sheetViews>
  <sheetFormatPr defaultRowHeight="15" x14ac:dyDescent="0.25"/>
  <cols>
    <col min="1" max="1" width="9" bestFit="1" customWidth="1"/>
    <col min="2" max="2" width="17.7109375" bestFit="1" customWidth="1"/>
    <col min="3" max="3" width="24.85546875" bestFit="1" customWidth="1"/>
    <col min="4" max="4" width="58.7109375" bestFit="1" customWidth="1"/>
    <col min="5" max="5" width="18.5703125" bestFit="1" customWidth="1"/>
    <col min="6" max="6" width="18.5703125" style="2" customWidth="1"/>
    <col min="7" max="7" width="14.85546875" bestFit="1" customWidth="1"/>
    <col min="8" max="8" width="18.5703125" bestFit="1" customWidth="1"/>
    <col min="9" max="12" width="18.5703125" style="2" customWidth="1"/>
    <col min="13" max="13" width="16.28515625" bestFit="1" customWidth="1"/>
    <col min="14" max="14" width="13.140625" bestFit="1" customWidth="1"/>
    <col min="15" max="15" width="8.28515625" style="1" bestFit="1" customWidth="1"/>
    <col min="16" max="16" width="7.85546875" bestFit="1" customWidth="1"/>
    <col min="17" max="17" width="9.28515625" bestFit="1" customWidth="1"/>
    <col min="18" max="19" width="7.140625" bestFit="1" customWidth="1"/>
    <col min="20" max="20" width="10.7109375" bestFit="1" customWidth="1"/>
    <col min="21" max="21" width="10.28515625" bestFit="1" customWidth="1"/>
    <col min="22" max="22" width="11.85546875" bestFit="1" customWidth="1"/>
    <col min="23" max="23" width="21.140625" bestFit="1" customWidth="1"/>
    <col min="24" max="25" width="10" bestFit="1" customWidth="1"/>
    <col min="26" max="26" width="22.42578125" bestFit="1" customWidth="1"/>
    <col min="27" max="27" width="13.85546875" bestFit="1" customWidth="1"/>
  </cols>
  <sheetData>
    <row r="1" spans="1:27" x14ac:dyDescent="0.2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s="2" t="s">
        <v>462</v>
      </c>
      <c r="G1" t="s">
        <v>460</v>
      </c>
      <c r="H1" t="s">
        <v>436</v>
      </c>
      <c r="I1" s="2" t="s">
        <v>463</v>
      </c>
      <c r="J1" s="2" t="s">
        <v>464</v>
      </c>
      <c r="K1" s="2" t="s">
        <v>465</v>
      </c>
      <c r="L1" s="2" t="s">
        <v>466</v>
      </c>
      <c r="M1" t="s">
        <v>406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461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</row>
    <row r="2" spans="1:27" x14ac:dyDescent="0.25">
      <c r="A2">
        <v>1024</v>
      </c>
      <c r="B2" t="s">
        <v>15</v>
      </c>
      <c r="C2" t="s">
        <v>311</v>
      </c>
      <c r="D2" t="s">
        <v>313</v>
      </c>
      <c r="E2">
        <v>60</v>
      </c>
      <c r="F2" s="2">
        <f>E2*0.35</f>
        <v>21</v>
      </c>
      <c r="G2">
        <v>8.4</v>
      </c>
      <c r="H2">
        <v>2</v>
      </c>
      <c r="I2" s="2">
        <f>E2*H2</f>
        <v>120</v>
      </c>
      <c r="J2" s="2">
        <f>G2*H2</f>
        <v>16.8</v>
      </c>
      <c r="K2" s="2">
        <f>I2-J2</f>
        <v>103.2</v>
      </c>
      <c r="L2" s="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25">
      <c r="A3">
        <v>1025</v>
      </c>
      <c r="B3" t="s">
        <v>24</v>
      </c>
      <c r="C3" t="s">
        <v>314</v>
      </c>
      <c r="D3" t="s">
        <v>316</v>
      </c>
      <c r="E3">
        <v>35</v>
      </c>
      <c r="F3" s="2">
        <f>E3*0.35</f>
        <v>12.25</v>
      </c>
      <c r="G3">
        <v>2.4500000000000002</v>
      </c>
      <c r="H3">
        <v>3</v>
      </c>
      <c r="I3" s="2">
        <f>E3*H3</f>
        <v>105</v>
      </c>
      <c r="J3" s="2">
        <f>G3*H3</f>
        <v>7.3500000000000005</v>
      </c>
      <c r="K3" s="2">
        <f>I3-J3</f>
        <v>97.65</v>
      </c>
      <c r="L3" s="2">
        <f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25">
      <c r="A4">
        <v>1026</v>
      </c>
      <c r="B4" t="s">
        <v>34</v>
      </c>
      <c r="C4" t="s">
        <v>317</v>
      </c>
      <c r="D4" t="s">
        <v>319</v>
      </c>
      <c r="E4">
        <v>250</v>
      </c>
      <c r="F4" s="2">
        <f>E4*0.35</f>
        <v>87.5</v>
      </c>
      <c r="G4">
        <v>17.5</v>
      </c>
      <c r="H4">
        <v>1</v>
      </c>
      <c r="I4" s="2">
        <f>E4*H4</f>
        <v>250</v>
      </c>
      <c r="J4" s="2">
        <f>G4*H4</f>
        <v>17.5</v>
      </c>
      <c r="K4" s="2">
        <f>I4-J4</f>
        <v>232.5</v>
      </c>
      <c r="L4" s="2">
        <f>K4-(F4*H4)</f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25">
      <c r="A5">
        <v>1027</v>
      </c>
      <c r="B5" t="s">
        <v>42</v>
      </c>
      <c r="C5" t="s">
        <v>320</v>
      </c>
      <c r="D5" t="s">
        <v>321</v>
      </c>
      <c r="E5">
        <v>15</v>
      </c>
      <c r="F5" s="2">
        <f>E5*0.35</f>
        <v>5.25</v>
      </c>
      <c r="G5">
        <v>1.05</v>
      </c>
      <c r="H5">
        <v>5</v>
      </c>
      <c r="I5" s="2">
        <f>E5*H5</f>
        <v>75</v>
      </c>
      <c r="J5" s="2">
        <f>G5*H5</f>
        <v>5.25</v>
      </c>
      <c r="K5" s="2">
        <f>I5-J5</f>
        <v>69.75</v>
      </c>
      <c r="L5" s="2">
        <f>K5-(F5*H5)</f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25">
      <c r="A6">
        <v>1028</v>
      </c>
      <c r="B6" t="s">
        <v>50</v>
      </c>
      <c r="C6" t="s">
        <v>322</v>
      </c>
      <c r="D6" t="s">
        <v>324</v>
      </c>
      <c r="E6">
        <v>55</v>
      </c>
      <c r="F6" s="2">
        <f>E6*0.35</f>
        <v>19.25</v>
      </c>
      <c r="G6">
        <v>3.85</v>
      </c>
      <c r="H6">
        <v>4</v>
      </c>
      <c r="I6" s="2">
        <f>E6*H6</f>
        <v>220</v>
      </c>
      <c r="J6" s="2">
        <f>G6*H6</f>
        <v>15.4</v>
      </c>
      <c r="K6" s="2">
        <f>I6-J6</f>
        <v>204.6</v>
      </c>
      <c r="L6" s="2">
        <f>K6-(F6*H6)</f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25">
      <c r="A7">
        <v>1029</v>
      </c>
      <c r="B7" t="s">
        <v>57</v>
      </c>
      <c r="C7" t="s">
        <v>325</v>
      </c>
      <c r="D7" t="s">
        <v>327</v>
      </c>
      <c r="E7">
        <v>75</v>
      </c>
      <c r="F7" s="2">
        <f>E7*0.35</f>
        <v>26.25</v>
      </c>
      <c r="G7">
        <v>5.25</v>
      </c>
      <c r="H7">
        <v>2</v>
      </c>
      <c r="I7" s="2">
        <f>E7*H7</f>
        <v>150</v>
      </c>
      <c r="J7" s="2">
        <f>G7*H7</f>
        <v>10.5</v>
      </c>
      <c r="K7" s="2">
        <f>I7-J7</f>
        <v>139.5</v>
      </c>
      <c r="L7" s="2">
        <f>K7-(F7*H7)</f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25">
      <c r="A8">
        <v>1030</v>
      </c>
      <c r="B8" t="s">
        <v>65</v>
      </c>
      <c r="C8" t="s">
        <v>328</v>
      </c>
      <c r="D8" t="s">
        <v>330</v>
      </c>
      <c r="E8">
        <v>50</v>
      </c>
      <c r="F8" s="2">
        <f>E8*0.35</f>
        <v>17.5</v>
      </c>
      <c r="G8">
        <v>14.7</v>
      </c>
      <c r="H8">
        <v>1</v>
      </c>
      <c r="I8" s="2">
        <f>E8*H8</f>
        <v>50</v>
      </c>
      <c r="J8" s="2">
        <f>G8*H8</f>
        <v>14.7</v>
      </c>
      <c r="K8" s="2">
        <f>I8-J8</f>
        <v>35.299999999999997</v>
      </c>
      <c r="L8" s="2">
        <f>K8-(F8*H8)</f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25">
      <c r="A9">
        <v>1031</v>
      </c>
      <c r="B9" t="s">
        <v>71</v>
      </c>
      <c r="C9" t="s">
        <v>331</v>
      </c>
      <c r="D9" t="s">
        <v>333</v>
      </c>
      <c r="E9">
        <v>90</v>
      </c>
      <c r="F9" s="2">
        <f>E9*0.35</f>
        <v>31.499999999999996</v>
      </c>
      <c r="G9">
        <v>6.3</v>
      </c>
      <c r="H9">
        <v>3</v>
      </c>
      <c r="I9" s="2">
        <f>E9*H9</f>
        <v>270</v>
      </c>
      <c r="J9" s="2">
        <f>G9*H9</f>
        <v>18.899999999999999</v>
      </c>
      <c r="K9" s="2">
        <f>I9-J9</f>
        <v>251.1</v>
      </c>
      <c r="L9" s="2">
        <f>K9-(F9*H9)</f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25">
      <c r="A10">
        <v>1032</v>
      </c>
      <c r="B10" t="s">
        <v>78</v>
      </c>
      <c r="C10" t="s">
        <v>334</v>
      </c>
      <c r="D10" t="s">
        <v>335</v>
      </c>
      <c r="E10">
        <v>180</v>
      </c>
      <c r="F10" s="2">
        <f>E10*0.35</f>
        <v>62.999999999999993</v>
      </c>
      <c r="G10">
        <v>12.6</v>
      </c>
      <c r="H10">
        <v>2</v>
      </c>
      <c r="I10" s="2">
        <f>E10*H10</f>
        <v>360</v>
      </c>
      <c r="J10" s="2">
        <f>G10*H10</f>
        <v>25.2</v>
      </c>
      <c r="K10" s="2">
        <f>I10-J10</f>
        <v>334.8</v>
      </c>
      <c r="L10" s="2">
        <f>K10-(F10*H10)</f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25">
      <c r="A11">
        <v>1033</v>
      </c>
      <c r="B11" t="s">
        <v>84</v>
      </c>
      <c r="C11" t="s">
        <v>336</v>
      </c>
      <c r="D11" t="s">
        <v>337</v>
      </c>
      <c r="E11">
        <v>3</v>
      </c>
      <c r="F11" s="2">
        <f>E11*0.35</f>
        <v>1.0499999999999998</v>
      </c>
      <c r="G11">
        <v>1.4</v>
      </c>
      <c r="H11">
        <v>6</v>
      </c>
      <c r="I11" s="2">
        <f>E11*H11</f>
        <v>18</v>
      </c>
      <c r="J11" s="2">
        <f>G11*H11</f>
        <v>8.3999999999999986</v>
      </c>
      <c r="K11" s="2">
        <f>I11-J11</f>
        <v>9.6000000000000014</v>
      </c>
      <c r="L11" s="2">
        <f>K11-(F11*H11)</f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25">
      <c r="A12">
        <v>1034</v>
      </c>
      <c r="B12" t="s">
        <v>91</v>
      </c>
      <c r="C12" t="s">
        <v>338</v>
      </c>
      <c r="D12" t="s">
        <v>339</v>
      </c>
      <c r="E12">
        <v>300</v>
      </c>
      <c r="F12" s="2">
        <f>E12*0.35</f>
        <v>105</v>
      </c>
      <c r="G12">
        <v>21</v>
      </c>
      <c r="H12">
        <v>1</v>
      </c>
      <c r="I12" s="2">
        <f>E12*H12</f>
        <v>300</v>
      </c>
      <c r="J12" s="2">
        <f>G12*H12</f>
        <v>21</v>
      </c>
      <c r="K12" s="2">
        <f>I12-J12</f>
        <v>279</v>
      </c>
      <c r="L12" s="2">
        <f>K12-(F12*H12)</f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25">
      <c r="A13">
        <v>1035</v>
      </c>
      <c r="B13" t="s">
        <v>96</v>
      </c>
      <c r="C13" t="s">
        <v>340</v>
      </c>
      <c r="D13" t="s">
        <v>341</v>
      </c>
      <c r="E13">
        <v>50</v>
      </c>
      <c r="F13" s="2">
        <f>E13*0.35</f>
        <v>17.5</v>
      </c>
      <c r="G13">
        <v>3.5</v>
      </c>
      <c r="H13">
        <v>4</v>
      </c>
      <c r="I13" s="2">
        <f>E13*H13</f>
        <v>200</v>
      </c>
      <c r="J13" s="2">
        <f>G13*H13</f>
        <v>14</v>
      </c>
      <c r="K13" s="2">
        <f>I13-J13</f>
        <v>186</v>
      </c>
      <c r="L13" s="2">
        <f>K13-(F13*H13)</f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25">
      <c r="A14">
        <v>1036</v>
      </c>
      <c r="B14" t="s">
        <v>101</v>
      </c>
      <c r="C14" t="s">
        <v>342</v>
      </c>
      <c r="D14" t="s">
        <v>343</v>
      </c>
      <c r="E14">
        <v>60</v>
      </c>
      <c r="F14" s="2">
        <f>E14*0.35</f>
        <v>21</v>
      </c>
      <c r="G14">
        <v>4.2</v>
      </c>
      <c r="H14">
        <v>5</v>
      </c>
      <c r="I14" s="2">
        <f>E14*H14</f>
        <v>300</v>
      </c>
      <c r="J14" s="2">
        <f>G14*H14</f>
        <v>21</v>
      </c>
      <c r="K14" s="2">
        <f>I14-J14</f>
        <v>279</v>
      </c>
      <c r="L14" s="2">
        <f>K14-(F14*H14)</f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25">
      <c r="A15">
        <v>1037</v>
      </c>
      <c r="B15" t="s">
        <v>106</v>
      </c>
      <c r="C15" t="s">
        <v>344</v>
      </c>
      <c r="D15" t="s">
        <v>346</v>
      </c>
      <c r="E15">
        <v>40</v>
      </c>
      <c r="F15" s="2">
        <f>E15*0.35</f>
        <v>14</v>
      </c>
      <c r="G15">
        <v>2.8</v>
      </c>
      <c r="H15">
        <v>3</v>
      </c>
      <c r="I15" s="2">
        <f>E15*H15</f>
        <v>120</v>
      </c>
      <c r="J15" s="2">
        <f>G15*H15</f>
        <v>8.3999999999999986</v>
      </c>
      <c r="K15" s="2">
        <f>I15-J15</f>
        <v>111.6</v>
      </c>
      <c r="L15" s="2">
        <f>K15-(F15*H15)</f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25">
      <c r="A16">
        <v>1038</v>
      </c>
      <c r="B16" t="s">
        <v>111</v>
      </c>
      <c r="C16" t="s">
        <v>347</v>
      </c>
      <c r="D16" t="s">
        <v>348</v>
      </c>
      <c r="E16">
        <v>45</v>
      </c>
      <c r="F16" s="2">
        <f>E16*0.35</f>
        <v>15.749999999999998</v>
      </c>
      <c r="G16">
        <v>3.15</v>
      </c>
      <c r="H16">
        <v>4</v>
      </c>
      <c r="I16" s="2">
        <f>E16*H16</f>
        <v>180</v>
      </c>
      <c r="J16" s="2">
        <f>G16*H16</f>
        <v>12.6</v>
      </c>
      <c r="K16" s="2">
        <f>I16-J16</f>
        <v>167.4</v>
      </c>
      <c r="L16" s="2">
        <f>K16-(F16*H16)</f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25">
      <c r="A17">
        <v>1039</v>
      </c>
      <c r="B17" t="s">
        <v>116</v>
      </c>
      <c r="C17" t="s">
        <v>349</v>
      </c>
      <c r="D17" t="s">
        <v>350</v>
      </c>
      <c r="E17">
        <v>80</v>
      </c>
      <c r="F17" s="2">
        <f>E17*0.35</f>
        <v>28</v>
      </c>
      <c r="G17">
        <v>5.6</v>
      </c>
      <c r="H17">
        <v>2</v>
      </c>
      <c r="I17" s="2">
        <f>E17*H17</f>
        <v>160</v>
      </c>
      <c r="J17" s="2">
        <f>G17*H17</f>
        <v>11.2</v>
      </c>
      <c r="K17" s="2">
        <f>I17-J17</f>
        <v>148.80000000000001</v>
      </c>
      <c r="L17" s="2">
        <f>K17-(F17*H17)</f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25">
      <c r="A18">
        <v>1040</v>
      </c>
      <c r="B18" t="s">
        <v>121</v>
      </c>
      <c r="C18" t="s">
        <v>351</v>
      </c>
      <c r="D18" t="s">
        <v>352</v>
      </c>
      <c r="E18">
        <v>200</v>
      </c>
      <c r="F18" s="2">
        <f>E18*0.35</f>
        <v>70</v>
      </c>
      <c r="G18">
        <v>14</v>
      </c>
      <c r="H18">
        <v>1</v>
      </c>
      <c r="I18" s="2">
        <f>E18*H18</f>
        <v>200</v>
      </c>
      <c r="J18" s="2">
        <f>G18*H18</f>
        <v>14</v>
      </c>
      <c r="K18" s="2">
        <f>I18-J18</f>
        <v>186</v>
      </c>
      <c r="L18" s="2">
        <f>K18-(F18*H18)</f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25">
      <c r="A19">
        <v>1041</v>
      </c>
      <c r="B19" t="s">
        <v>126</v>
      </c>
      <c r="C19" t="s">
        <v>353</v>
      </c>
      <c r="D19" t="s">
        <v>354</v>
      </c>
      <c r="E19">
        <v>65</v>
      </c>
      <c r="F19" s="2">
        <f>E19*0.35</f>
        <v>22.75</v>
      </c>
      <c r="G19">
        <v>4.55</v>
      </c>
      <c r="H19">
        <v>3</v>
      </c>
      <c r="I19" s="2">
        <f>E19*H19</f>
        <v>195</v>
      </c>
      <c r="J19" s="2">
        <f>G19*H19</f>
        <v>13.649999999999999</v>
      </c>
      <c r="K19" s="2">
        <f>I19-J19</f>
        <v>181.35</v>
      </c>
      <c r="L19" s="2">
        <f>K19-(F19*H19)</f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25">
      <c r="A20">
        <v>1042</v>
      </c>
      <c r="B20" t="s">
        <v>131</v>
      </c>
      <c r="C20" t="s">
        <v>355</v>
      </c>
      <c r="D20" t="s">
        <v>356</v>
      </c>
      <c r="E20">
        <v>110</v>
      </c>
      <c r="F20" s="2">
        <f>E20*0.35</f>
        <v>38.5</v>
      </c>
      <c r="G20">
        <v>7.7</v>
      </c>
      <c r="H20">
        <v>2</v>
      </c>
      <c r="I20" s="2">
        <f>E20*H20</f>
        <v>220</v>
      </c>
      <c r="J20" s="2">
        <f>G20*H20</f>
        <v>15.4</v>
      </c>
      <c r="K20" s="2">
        <f>I20-J20</f>
        <v>204.6</v>
      </c>
      <c r="L20" s="2">
        <f>K20-(F20*H20)</f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25">
      <c r="A21">
        <v>1043</v>
      </c>
      <c r="B21" t="s">
        <v>136</v>
      </c>
      <c r="C21" t="s">
        <v>357</v>
      </c>
      <c r="D21" t="s">
        <v>358</v>
      </c>
      <c r="E21">
        <v>95</v>
      </c>
      <c r="F21" s="2">
        <f>E21*0.35</f>
        <v>33.25</v>
      </c>
      <c r="G21">
        <v>6.65</v>
      </c>
      <c r="H21">
        <v>1</v>
      </c>
      <c r="I21" s="2">
        <f>E21*H21</f>
        <v>95</v>
      </c>
      <c r="J21" s="2">
        <f>G21*H21</f>
        <v>6.65</v>
      </c>
      <c r="K21" s="2">
        <f>I21-J21</f>
        <v>88.35</v>
      </c>
      <c r="L21" s="2">
        <f>K21-(F21*H21)</f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25">
      <c r="A22">
        <v>1044</v>
      </c>
      <c r="B22" t="s">
        <v>141</v>
      </c>
      <c r="C22" t="s">
        <v>359</v>
      </c>
      <c r="D22" t="s">
        <v>361</v>
      </c>
      <c r="E22">
        <v>130</v>
      </c>
      <c r="F22" s="2">
        <f>E22*0.35</f>
        <v>45.5</v>
      </c>
      <c r="G22">
        <v>9.1</v>
      </c>
      <c r="H22">
        <v>3</v>
      </c>
      <c r="I22" s="2">
        <f>E22*H22</f>
        <v>390</v>
      </c>
      <c r="J22" s="2">
        <f>G22*H22</f>
        <v>27.299999999999997</v>
      </c>
      <c r="K22" s="2">
        <f>I22-J22</f>
        <v>362.7</v>
      </c>
      <c r="L22" s="2">
        <f>K22-(F22*H22)</f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25">
      <c r="A23">
        <v>1045</v>
      </c>
      <c r="B23" t="s">
        <v>146</v>
      </c>
      <c r="C23" t="s">
        <v>362</v>
      </c>
      <c r="D23" t="s">
        <v>363</v>
      </c>
      <c r="E23">
        <v>40</v>
      </c>
      <c r="F23" s="2">
        <f>E23*0.35</f>
        <v>14</v>
      </c>
      <c r="G23">
        <v>2.8</v>
      </c>
      <c r="H23">
        <v>4</v>
      </c>
      <c r="I23" s="2">
        <f>E23*H23</f>
        <v>160</v>
      </c>
      <c r="J23" s="2">
        <f>G23*H23</f>
        <v>11.2</v>
      </c>
      <c r="K23" s="2">
        <f>I23-J23</f>
        <v>148.80000000000001</v>
      </c>
      <c r="L23" s="2">
        <f>K23-(F23*H23)</f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25">
      <c r="A24">
        <v>1046</v>
      </c>
      <c r="B24" t="s">
        <v>151</v>
      </c>
      <c r="C24" t="s">
        <v>364</v>
      </c>
      <c r="D24" t="s">
        <v>365</v>
      </c>
      <c r="E24">
        <v>270</v>
      </c>
      <c r="F24" s="2">
        <f>E24*0.35</f>
        <v>94.5</v>
      </c>
      <c r="G24">
        <v>18.899999999999999</v>
      </c>
      <c r="H24">
        <v>1</v>
      </c>
      <c r="I24" s="2">
        <f>E24*H24</f>
        <v>270</v>
      </c>
      <c r="J24" s="2">
        <f>G24*H24</f>
        <v>18.899999999999999</v>
      </c>
      <c r="K24" s="2">
        <f>I24-J24</f>
        <v>251.1</v>
      </c>
      <c r="L24" s="2">
        <f>K24-(F24*H24)</f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25">
      <c r="A25">
        <v>1047</v>
      </c>
      <c r="B25" t="s">
        <v>156</v>
      </c>
      <c r="C25" t="s">
        <v>366</v>
      </c>
      <c r="D25" t="s">
        <v>367</v>
      </c>
      <c r="E25">
        <v>18</v>
      </c>
      <c r="F25" s="2">
        <f>E25*0.35</f>
        <v>6.3</v>
      </c>
      <c r="G25">
        <v>1.26</v>
      </c>
      <c r="H25">
        <v>6</v>
      </c>
      <c r="I25" s="2">
        <f>E25*H25</f>
        <v>108</v>
      </c>
      <c r="J25" s="2">
        <f>G25*H25</f>
        <v>7.5600000000000005</v>
      </c>
      <c r="K25" s="2">
        <f>I25-J25</f>
        <v>100.44</v>
      </c>
      <c r="L25" s="2">
        <f>K25-(F25*H25)</f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25">
      <c r="A26">
        <v>1048</v>
      </c>
      <c r="B26" t="s">
        <v>161</v>
      </c>
      <c r="C26" t="s">
        <v>368</v>
      </c>
      <c r="D26" t="s">
        <v>369</v>
      </c>
      <c r="E26">
        <v>58</v>
      </c>
      <c r="F26" s="2">
        <f>E26*0.35</f>
        <v>20.299999999999997</v>
      </c>
      <c r="G26">
        <v>4.0599999999999996</v>
      </c>
      <c r="H26">
        <v>5</v>
      </c>
      <c r="I26" s="2">
        <f>E26*H26</f>
        <v>290</v>
      </c>
      <c r="J26" s="2">
        <f>G26*H26</f>
        <v>20.299999999999997</v>
      </c>
      <c r="K26" s="2">
        <f>I26-J26</f>
        <v>269.7</v>
      </c>
      <c r="L26" s="2">
        <f>K26-(F26*H26)</f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25">
      <c r="A27">
        <v>1049</v>
      </c>
      <c r="B27" t="s">
        <v>166</v>
      </c>
      <c r="C27" t="s">
        <v>370</v>
      </c>
      <c r="D27" t="s">
        <v>371</v>
      </c>
      <c r="E27">
        <v>85</v>
      </c>
      <c r="F27" s="2">
        <f>E27*0.35</f>
        <v>29.749999999999996</v>
      </c>
      <c r="G27">
        <v>5.95</v>
      </c>
      <c r="H27">
        <v>2</v>
      </c>
      <c r="I27" s="2">
        <f>E27*H27</f>
        <v>170</v>
      </c>
      <c r="J27" s="2">
        <f>G27*H27</f>
        <v>11.9</v>
      </c>
      <c r="K27" s="2">
        <f>I27-J27</f>
        <v>158.1</v>
      </c>
      <c r="L27" s="2">
        <f>K27-(F27*H27)</f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25">
      <c r="A28">
        <v>1050</v>
      </c>
      <c r="B28" t="s">
        <v>171</v>
      </c>
      <c r="C28" t="s">
        <v>372</v>
      </c>
      <c r="D28" t="s">
        <v>374</v>
      </c>
      <c r="E28">
        <v>220</v>
      </c>
      <c r="F28" s="2">
        <f>E28*0.35</f>
        <v>77</v>
      </c>
      <c r="G28">
        <v>15.4</v>
      </c>
      <c r="H28">
        <v>1</v>
      </c>
      <c r="I28" s="2">
        <f>E28*H28</f>
        <v>220</v>
      </c>
      <c r="J28" s="2">
        <f>G28*H28</f>
        <v>15.4</v>
      </c>
      <c r="K28" s="2">
        <f>I28-J28</f>
        <v>204.6</v>
      </c>
      <c r="L28" s="2">
        <f>K28-(F28*H28)</f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25">
      <c r="A29">
        <v>1052</v>
      </c>
      <c r="B29" t="s">
        <v>176</v>
      </c>
      <c r="C29" t="s">
        <v>375</v>
      </c>
      <c r="D29" t="s">
        <v>376</v>
      </c>
      <c r="E29">
        <v>100</v>
      </c>
      <c r="F29" s="2">
        <f>E29*0.35</f>
        <v>35</v>
      </c>
      <c r="G29">
        <v>7</v>
      </c>
      <c r="H29">
        <v>3</v>
      </c>
      <c r="I29" s="2">
        <f>E29*H29</f>
        <v>300</v>
      </c>
      <c r="J29" s="2">
        <f>G29*H29</f>
        <v>21</v>
      </c>
      <c r="K29" s="2">
        <f>I29-J29</f>
        <v>279</v>
      </c>
      <c r="L29" s="2">
        <f>K29-(F29*H29)</f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25">
      <c r="A30">
        <v>1053</v>
      </c>
      <c r="B30" t="s">
        <v>181</v>
      </c>
      <c r="C30" t="s">
        <v>377</v>
      </c>
      <c r="D30" t="s">
        <v>379</v>
      </c>
      <c r="E30">
        <v>195</v>
      </c>
      <c r="F30" s="2">
        <f>E30*0.35</f>
        <v>68.25</v>
      </c>
      <c r="G30">
        <v>13.65</v>
      </c>
      <c r="H30">
        <v>2</v>
      </c>
      <c r="I30" s="2">
        <f>E30*H30</f>
        <v>390</v>
      </c>
      <c r="J30" s="2">
        <f>G30*H30</f>
        <v>27.3</v>
      </c>
      <c r="K30" s="2">
        <f>I30-J30</f>
        <v>362.7</v>
      </c>
      <c r="L30" s="2">
        <f>K30-(F30*H30)</f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25">
      <c r="A31">
        <v>1054</v>
      </c>
      <c r="B31" t="s">
        <v>186</v>
      </c>
      <c r="C31" t="s">
        <v>380</v>
      </c>
      <c r="D31" t="s">
        <v>381</v>
      </c>
      <c r="E31">
        <v>24</v>
      </c>
      <c r="F31" s="2">
        <f>E31*0.35</f>
        <v>8.3999999999999986</v>
      </c>
      <c r="G31">
        <v>1.68</v>
      </c>
      <c r="H31">
        <v>5</v>
      </c>
      <c r="I31" s="2">
        <f>E31*H31</f>
        <v>120</v>
      </c>
      <c r="J31" s="2">
        <f>G31*H31</f>
        <v>8.4</v>
      </c>
      <c r="K31" s="2">
        <f>I31-J31</f>
        <v>111.6</v>
      </c>
      <c r="L31" s="2">
        <f>K31-(F31*H31)</f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25">
      <c r="A32">
        <v>1055</v>
      </c>
      <c r="B32" t="s">
        <v>191</v>
      </c>
      <c r="C32" t="s">
        <v>382</v>
      </c>
      <c r="D32" t="s">
        <v>383</v>
      </c>
      <c r="E32">
        <v>310</v>
      </c>
      <c r="F32" s="2">
        <f>E32*0.35</f>
        <v>108.5</v>
      </c>
      <c r="G32">
        <v>21.7</v>
      </c>
      <c r="H32">
        <v>1</v>
      </c>
      <c r="I32" s="2">
        <f>E32*H32</f>
        <v>310</v>
      </c>
      <c r="J32" s="2">
        <f>G32*H32</f>
        <v>21.7</v>
      </c>
      <c r="K32" s="2">
        <f>I32-J32</f>
        <v>288.3</v>
      </c>
      <c r="L32" s="2">
        <f>K32-(F32*H32)</f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25">
      <c r="A33">
        <v>1056</v>
      </c>
      <c r="B33" t="s">
        <v>196</v>
      </c>
      <c r="C33" t="s">
        <v>384</v>
      </c>
      <c r="D33" t="s">
        <v>385</v>
      </c>
      <c r="E33">
        <v>52</v>
      </c>
      <c r="F33" s="2">
        <f>E33*0.35</f>
        <v>18.2</v>
      </c>
      <c r="G33">
        <v>3.64</v>
      </c>
      <c r="H33">
        <v>4</v>
      </c>
      <c r="I33" s="2">
        <f>E33*H33</f>
        <v>208</v>
      </c>
      <c r="J33" s="2">
        <f>G33*H33</f>
        <v>14.56</v>
      </c>
      <c r="K33" s="2">
        <f>I33-J33</f>
        <v>193.44</v>
      </c>
      <c r="L33" s="2">
        <f>K33-(F33*H33)</f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25">
      <c r="A34">
        <v>1057</v>
      </c>
      <c r="B34" t="s">
        <v>201</v>
      </c>
      <c r="C34" t="s">
        <v>386</v>
      </c>
      <c r="D34" t="s">
        <v>387</v>
      </c>
      <c r="E34">
        <v>62</v>
      </c>
      <c r="F34" s="2">
        <f>E34*0.35</f>
        <v>21.7</v>
      </c>
      <c r="G34">
        <v>4.34</v>
      </c>
      <c r="H34">
        <v>5</v>
      </c>
      <c r="I34" s="2">
        <f>E34*H34</f>
        <v>310</v>
      </c>
      <c r="J34" s="2">
        <f>G34*H34</f>
        <v>21.7</v>
      </c>
      <c r="K34" s="2">
        <f>I34-J34</f>
        <v>288.3</v>
      </c>
      <c r="L34" s="2">
        <f>K34-(F34*H34)</f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25">
      <c r="A35">
        <v>1058</v>
      </c>
      <c r="B35" t="s">
        <v>206</v>
      </c>
      <c r="C35" t="s">
        <v>388</v>
      </c>
      <c r="D35" t="s">
        <v>389</v>
      </c>
      <c r="E35">
        <v>44</v>
      </c>
      <c r="F35" s="2">
        <f>E35*0.35</f>
        <v>15.399999999999999</v>
      </c>
      <c r="G35">
        <v>3.08</v>
      </c>
      <c r="H35">
        <v>3</v>
      </c>
      <c r="I35" s="2">
        <f>E35*H35</f>
        <v>132</v>
      </c>
      <c r="J35" s="2">
        <f>G35*H35</f>
        <v>9.24</v>
      </c>
      <c r="K35" s="2">
        <f>I35-J35</f>
        <v>122.76</v>
      </c>
      <c r="L35" s="2">
        <f>K35-(F35*H35)</f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25">
      <c r="A36">
        <v>1059</v>
      </c>
      <c r="B36" t="s">
        <v>211</v>
      </c>
      <c r="C36" t="s">
        <v>390</v>
      </c>
      <c r="D36" t="s">
        <v>391</v>
      </c>
      <c r="E36">
        <v>48</v>
      </c>
      <c r="F36" s="2">
        <f>E36*0.35</f>
        <v>16.799999999999997</v>
      </c>
      <c r="G36">
        <v>3.36</v>
      </c>
      <c r="H36">
        <v>4</v>
      </c>
      <c r="I36" s="2">
        <f>E36*H36</f>
        <v>192</v>
      </c>
      <c r="J36" s="2">
        <f>G36*H36</f>
        <v>13.44</v>
      </c>
      <c r="K36" s="2">
        <f>I36-J36</f>
        <v>178.56</v>
      </c>
      <c r="L36" s="2">
        <f>K36-(F36*H36)</f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25">
      <c r="A37">
        <v>1060</v>
      </c>
      <c r="B37" t="s">
        <v>216</v>
      </c>
      <c r="C37" t="s">
        <v>392</v>
      </c>
      <c r="D37" t="s">
        <v>393</v>
      </c>
      <c r="E37">
        <v>88</v>
      </c>
      <c r="F37" s="2">
        <f>E37*0.35</f>
        <v>30.799999999999997</v>
      </c>
      <c r="G37">
        <v>6.16</v>
      </c>
      <c r="H37">
        <v>2</v>
      </c>
      <c r="I37" s="2">
        <f>E37*H37</f>
        <v>176</v>
      </c>
      <c r="J37" s="2">
        <f>G37*H37</f>
        <v>12.32</v>
      </c>
      <c r="K37" s="2">
        <f>I37-J37</f>
        <v>163.68</v>
      </c>
      <c r="L37" s="2">
        <f>K37-(F37*H37)</f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25">
      <c r="A38">
        <v>1061</v>
      </c>
      <c r="B38" t="s">
        <v>221</v>
      </c>
      <c r="C38" t="s">
        <v>394</v>
      </c>
      <c r="D38" t="s">
        <v>395</v>
      </c>
      <c r="E38">
        <v>210</v>
      </c>
      <c r="F38" s="2">
        <f>E38*0.35</f>
        <v>73.5</v>
      </c>
      <c r="G38">
        <v>14.7</v>
      </c>
      <c r="H38">
        <v>1</v>
      </c>
      <c r="I38" s="2">
        <f>E38*H38</f>
        <v>210</v>
      </c>
      <c r="J38" s="2">
        <f>G38*H38</f>
        <v>14.7</v>
      </c>
      <c r="K38" s="2">
        <f>I38-J38</f>
        <v>195.3</v>
      </c>
      <c r="L38" s="2">
        <f>K38-(F38*H38)</f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25">
      <c r="A39">
        <v>1062</v>
      </c>
      <c r="B39" t="s">
        <v>226</v>
      </c>
      <c r="C39" t="s">
        <v>396</v>
      </c>
      <c r="D39" t="s">
        <v>398</v>
      </c>
      <c r="E39">
        <v>70</v>
      </c>
      <c r="F39" s="2">
        <f>E39*0.35</f>
        <v>24.5</v>
      </c>
      <c r="G39">
        <v>4.9000000000000004</v>
      </c>
      <c r="H39">
        <v>3</v>
      </c>
      <c r="I39" s="2">
        <f>E39*H39</f>
        <v>210</v>
      </c>
      <c r="J39" s="2">
        <f>G39*H39</f>
        <v>14.700000000000001</v>
      </c>
      <c r="K39" s="2">
        <f>I39-J39</f>
        <v>195.3</v>
      </c>
      <c r="L39" s="2">
        <f>K39-(F39*H39)</f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25">
      <c r="A40">
        <v>1063</v>
      </c>
      <c r="B40" t="s">
        <v>231</v>
      </c>
      <c r="C40" t="s">
        <v>399</v>
      </c>
      <c r="D40" t="s">
        <v>400</v>
      </c>
      <c r="E40">
        <v>120</v>
      </c>
      <c r="F40" s="2">
        <f>E40*0.35</f>
        <v>42</v>
      </c>
      <c r="G40">
        <v>8.4</v>
      </c>
      <c r="H40">
        <v>2</v>
      </c>
      <c r="I40" s="2">
        <f>E40*H40</f>
        <v>240</v>
      </c>
      <c r="J40" s="2">
        <f>G40*H40</f>
        <v>16.8</v>
      </c>
      <c r="K40" s="2">
        <f>I40-J40</f>
        <v>223.2</v>
      </c>
      <c r="L40" s="2">
        <f>K40-(F40*H40)</f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25">
      <c r="A41">
        <v>1064</v>
      </c>
      <c r="B41" t="s">
        <v>236</v>
      </c>
      <c r="C41" t="s">
        <v>401</v>
      </c>
      <c r="D41" t="s">
        <v>403</v>
      </c>
      <c r="E41">
        <v>105</v>
      </c>
      <c r="F41" s="2">
        <f>E41*0.35</f>
        <v>36.75</v>
      </c>
      <c r="G41">
        <v>7.35</v>
      </c>
      <c r="H41">
        <v>1</v>
      </c>
      <c r="I41" s="2">
        <f>E41*H41</f>
        <v>105</v>
      </c>
      <c r="J41" s="2">
        <f>G41*H41</f>
        <v>7.35</v>
      </c>
      <c r="K41" s="2">
        <f>I41-J41</f>
        <v>97.65</v>
      </c>
      <c r="L41" s="2">
        <f>K41-(F41*H41)</f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25">
      <c r="A42">
        <v>1065</v>
      </c>
      <c r="B42" t="s">
        <v>241</v>
      </c>
      <c r="C42" t="s">
        <v>407</v>
      </c>
      <c r="D42" t="s">
        <v>408</v>
      </c>
      <c r="E42">
        <v>115</v>
      </c>
      <c r="F42" s="2">
        <f>E42*0.35</f>
        <v>40.25</v>
      </c>
      <c r="G42">
        <v>8.0500000000000007</v>
      </c>
      <c r="H42">
        <v>2</v>
      </c>
      <c r="I42" s="2">
        <f>E42*H42</f>
        <v>230</v>
      </c>
      <c r="J42" s="2">
        <f>G42*H42</f>
        <v>16.100000000000001</v>
      </c>
      <c r="K42" s="2">
        <f>I42-J42</f>
        <v>213.9</v>
      </c>
      <c r="L42" s="2">
        <f>K42-(F42*H42)</f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25">
      <c r="A43">
        <v>1066</v>
      </c>
      <c r="B43" t="s">
        <v>246</v>
      </c>
      <c r="C43" t="s">
        <v>409</v>
      </c>
      <c r="D43" t="s">
        <v>410</v>
      </c>
      <c r="E43">
        <v>46</v>
      </c>
      <c r="F43" s="2">
        <f>E43*0.35</f>
        <v>16.099999999999998</v>
      </c>
      <c r="G43">
        <v>3.22</v>
      </c>
      <c r="H43">
        <v>3</v>
      </c>
      <c r="I43" s="2">
        <f>E43*H43</f>
        <v>138</v>
      </c>
      <c r="J43" s="2">
        <f>G43*H43</f>
        <v>9.66</v>
      </c>
      <c r="K43" s="2">
        <f>I43-J43</f>
        <v>128.34</v>
      </c>
      <c r="L43" s="2">
        <f>K43-(F43*H43)</f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25">
      <c r="A44">
        <v>1067</v>
      </c>
      <c r="B44" t="s">
        <v>251</v>
      </c>
      <c r="C44" t="s">
        <v>411</v>
      </c>
      <c r="D44" t="s">
        <v>413</v>
      </c>
      <c r="E44">
        <v>290</v>
      </c>
      <c r="F44" s="2">
        <f>E44*0.35</f>
        <v>101.5</v>
      </c>
      <c r="G44">
        <v>20.3</v>
      </c>
      <c r="H44">
        <v>1</v>
      </c>
      <c r="I44" s="2">
        <f>E44*H44</f>
        <v>290</v>
      </c>
      <c r="J44" s="2">
        <f>G44*H44</f>
        <v>20.3</v>
      </c>
      <c r="K44" s="2">
        <f>I44-J44</f>
        <v>269.7</v>
      </c>
      <c r="L44" s="2">
        <f>K44-(F44*H44)</f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25">
      <c r="A45">
        <v>1068</v>
      </c>
      <c r="B45" t="s">
        <v>256</v>
      </c>
      <c r="C45" t="s">
        <v>414</v>
      </c>
      <c r="D45" t="s">
        <v>415</v>
      </c>
      <c r="E45">
        <v>22</v>
      </c>
      <c r="F45" s="2">
        <f>E45*0.35</f>
        <v>7.6999999999999993</v>
      </c>
      <c r="G45">
        <v>1.54</v>
      </c>
      <c r="H45">
        <v>5</v>
      </c>
      <c r="I45" s="2">
        <f>E45*H45</f>
        <v>110</v>
      </c>
      <c r="J45" s="2">
        <f>G45*H45</f>
        <v>7.7</v>
      </c>
      <c r="K45" s="2">
        <f>I45-J45</f>
        <v>102.3</v>
      </c>
      <c r="L45" s="2">
        <f>K45-(F45*H45)</f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25">
      <c r="A46">
        <v>1069</v>
      </c>
      <c r="B46" t="s">
        <v>261</v>
      </c>
      <c r="C46" t="s">
        <v>416</v>
      </c>
      <c r="D46" t="s">
        <v>417</v>
      </c>
      <c r="E46">
        <v>63</v>
      </c>
      <c r="F46" s="2">
        <f>E46*0.35</f>
        <v>22.049999999999997</v>
      </c>
      <c r="G46">
        <v>4.41</v>
      </c>
      <c r="H46">
        <v>4</v>
      </c>
      <c r="I46" s="2">
        <f>E46*H46</f>
        <v>252</v>
      </c>
      <c r="J46" s="2">
        <f>G46*H46</f>
        <v>17.64</v>
      </c>
      <c r="K46" s="2">
        <f>I46-J46</f>
        <v>234.36</v>
      </c>
      <c r="L46" s="2">
        <f>K46-(F46*H46)</f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25">
      <c r="A47">
        <v>1070</v>
      </c>
      <c r="B47" t="s">
        <v>266</v>
      </c>
      <c r="C47" t="s">
        <v>418</v>
      </c>
      <c r="D47" t="s">
        <v>419</v>
      </c>
      <c r="E47">
        <v>92</v>
      </c>
      <c r="F47" s="2">
        <f>E47*0.35</f>
        <v>32.199999999999996</v>
      </c>
      <c r="G47">
        <v>6.44</v>
      </c>
      <c r="H47">
        <v>2</v>
      </c>
      <c r="I47" s="2">
        <f>E47*H47</f>
        <v>184</v>
      </c>
      <c r="J47" s="2">
        <f>G47*H47</f>
        <v>12.88</v>
      </c>
      <c r="K47" s="2">
        <f>I47-J47</f>
        <v>171.12</v>
      </c>
      <c r="L47" s="2">
        <f>K47-(F47*H47)</f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25">
      <c r="A48">
        <v>1071</v>
      </c>
      <c r="B48" t="s">
        <v>271</v>
      </c>
      <c r="C48" t="s">
        <v>420</v>
      </c>
      <c r="D48" t="s">
        <v>421</v>
      </c>
      <c r="E48">
        <v>235</v>
      </c>
      <c r="F48" s="2">
        <f>E48*0.35</f>
        <v>82.25</v>
      </c>
      <c r="G48">
        <v>16.45</v>
      </c>
      <c r="H48">
        <v>1</v>
      </c>
      <c r="I48" s="2">
        <f>E48*H48</f>
        <v>235</v>
      </c>
      <c r="J48" s="2">
        <f>G48*H48</f>
        <v>16.45</v>
      </c>
      <c r="K48" s="2">
        <f>I48-J48</f>
        <v>218.55</v>
      </c>
      <c r="L48" s="2">
        <f>K48-(F48*H48)</f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25">
      <c r="A49">
        <v>1072</v>
      </c>
      <c r="B49" t="s">
        <v>276</v>
      </c>
      <c r="C49" t="s">
        <v>422</v>
      </c>
      <c r="D49" t="s">
        <v>423</v>
      </c>
      <c r="E49">
        <v>110</v>
      </c>
      <c r="F49" s="2">
        <f>E49*0.35</f>
        <v>38.5</v>
      </c>
      <c r="G49">
        <v>7.7</v>
      </c>
      <c r="H49">
        <v>3</v>
      </c>
      <c r="I49" s="2">
        <f>E49*H49</f>
        <v>330</v>
      </c>
      <c r="J49" s="2">
        <f>G49*H49</f>
        <v>23.1</v>
      </c>
      <c r="K49" s="2">
        <f>I49-J49</f>
        <v>306.89999999999998</v>
      </c>
      <c r="L49" s="2">
        <f>K49-(F49*H49)</f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25">
      <c r="A50">
        <v>1073</v>
      </c>
      <c r="B50" t="s">
        <v>281</v>
      </c>
      <c r="C50" t="s">
        <v>424</v>
      </c>
      <c r="D50" t="s">
        <v>425</v>
      </c>
      <c r="E50">
        <v>205</v>
      </c>
      <c r="F50" s="2">
        <f>E50*0.35</f>
        <v>71.75</v>
      </c>
      <c r="G50">
        <v>14.35</v>
      </c>
      <c r="H50">
        <v>2</v>
      </c>
      <c r="I50" s="2">
        <f>E50*H50</f>
        <v>410</v>
      </c>
      <c r="J50" s="2">
        <f>G50*H50</f>
        <v>28.7</v>
      </c>
      <c r="K50" s="2">
        <f>I50-J50</f>
        <v>381.3</v>
      </c>
      <c r="L50" s="2">
        <f>K50-(F50*H50)</f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25">
      <c r="A51">
        <v>1074</v>
      </c>
      <c r="B51" t="s">
        <v>286</v>
      </c>
      <c r="C51" t="s">
        <v>426</v>
      </c>
      <c r="D51" t="s">
        <v>427</v>
      </c>
      <c r="E51">
        <v>29</v>
      </c>
      <c r="F51" s="2">
        <f>E51*0.35</f>
        <v>10.149999999999999</v>
      </c>
      <c r="G51">
        <v>2.0299999999999998</v>
      </c>
      <c r="H51">
        <v>6</v>
      </c>
      <c r="I51" s="2">
        <f>E51*H51</f>
        <v>174</v>
      </c>
      <c r="J51" s="2">
        <f>G51*H51</f>
        <v>12.18</v>
      </c>
      <c r="K51" s="2">
        <f>I51-J51</f>
        <v>161.82</v>
      </c>
      <c r="L51" s="2">
        <f>K51-(F51*H51)</f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25">
      <c r="A52">
        <v>1075</v>
      </c>
      <c r="B52" t="s">
        <v>291</v>
      </c>
      <c r="C52" t="s">
        <v>428</v>
      </c>
      <c r="D52" t="s">
        <v>429</v>
      </c>
      <c r="E52">
        <v>325</v>
      </c>
      <c r="F52" s="2">
        <f>E52*0.35</f>
        <v>113.74999999999999</v>
      </c>
      <c r="G52">
        <v>22.75</v>
      </c>
      <c r="H52">
        <v>1</v>
      </c>
      <c r="I52" s="2">
        <f>E52*H52</f>
        <v>325</v>
      </c>
      <c r="J52" s="2">
        <f>G52*H52</f>
        <v>22.75</v>
      </c>
      <c r="K52" s="2">
        <f>I52-J52</f>
        <v>302.25</v>
      </c>
      <c r="L52" s="2">
        <f>K52-(F52*H52)</f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25">
      <c r="A53">
        <v>1076</v>
      </c>
      <c r="B53" t="s">
        <v>296</v>
      </c>
      <c r="C53" t="s">
        <v>430</v>
      </c>
      <c r="D53" t="s">
        <v>431</v>
      </c>
      <c r="E53">
        <v>57</v>
      </c>
      <c r="F53" s="2">
        <f>E53*0.35</f>
        <v>19.95</v>
      </c>
      <c r="G53">
        <v>3.99</v>
      </c>
      <c r="H53">
        <v>3</v>
      </c>
      <c r="I53" s="2">
        <f>E53*H53</f>
        <v>171</v>
      </c>
      <c r="J53" s="2">
        <f>G53*H53</f>
        <v>11.97</v>
      </c>
      <c r="K53" s="2">
        <f>I53-J53</f>
        <v>159.03</v>
      </c>
      <c r="L53" s="2">
        <f>K53-(F53*H53)</f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25">
      <c r="A54">
        <v>1077</v>
      </c>
      <c r="B54" t="s">
        <v>301</v>
      </c>
      <c r="C54" t="s">
        <v>432</v>
      </c>
      <c r="D54" t="s">
        <v>433</v>
      </c>
      <c r="E54">
        <v>68</v>
      </c>
      <c r="F54" s="2">
        <f>E54*0.35</f>
        <v>23.799999999999997</v>
      </c>
      <c r="G54">
        <v>4.76</v>
      </c>
      <c r="H54">
        <v>4</v>
      </c>
      <c r="I54" s="2">
        <f>E54*H54</f>
        <v>272</v>
      </c>
      <c r="J54" s="2">
        <f>G54*H54</f>
        <v>19.04</v>
      </c>
      <c r="K54" s="2">
        <f>I54-J54</f>
        <v>252.96</v>
      </c>
      <c r="L54" s="2">
        <f>K54-(F54*H54)</f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25">
      <c r="A55">
        <v>1078</v>
      </c>
      <c r="B55" t="s">
        <v>306</v>
      </c>
      <c r="C55" t="s">
        <v>434</v>
      </c>
      <c r="D55" t="s">
        <v>435</v>
      </c>
      <c r="E55">
        <v>49</v>
      </c>
      <c r="F55" s="2">
        <f>E55*0.35</f>
        <v>17.149999999999999</v>
      </c>
      <c r="G55">
        <v>3.43</v>
      </c>
      <c r="H55">
        <v>2</v>
      </c>
      <c r="I55" s="2">
        <f>E55*H55</f>
        <v>98</v>
      </c>
      <c r="J55" s="2">
        <f>G55*H55</f>
        <v>6.86</v>
      </c>
      <c r="K55" s="2">
        <f>I55-J55</f>
        <v>91.14</v>
      </c>
      <c r="L55" s="2">
        <f>K55-(F55*H55)</f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sortState xmlns:xlrd2="http://schemas.microsoft.com/office/spreadsheetml/2017/richdata2" ref="K2:K56">
    <sortCondition ref="K1:K5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Abdullah Ahmad</cp:lastModifiedBy>
  <dcterms:created xsi:type="dcterms:W3CDTF">2023-10-14T09:55:00Z</dcterms:created>
  <dcterms:modified xsi:type="dcterms:W3CDTF">2026-01-28T14:37:11Z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